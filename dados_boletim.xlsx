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308596379\Documents\DPL_PI\"/>
    </mc:Choice>
  </mc:AlternateContent>
  <xr:revisionPtr revIDLastSave="0" documentId="13_ncr:1_{06180218-2765-484D-B811-1BC6DF0A1DCF}" xr6:coauthVersionLast="47" xr6:coauthVersionMax="47" xr10:uidLastSave="{00000000-0000-0000-0000-000000000000}"/>
  <bookViews>
    <workbookView xWindow="-108" yWindow="-108" windowWidth="23256" windowHeight="12456" xr2:uid="{D7F36C21-DD60-48C1-888C-83E8027E49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9" i="1" l="1"/>
  <c r="H34" i="1"/>
  <c r="H33" i="1"/>
  <c r="H32" i="1"/>
  <c r="H25" i="1"/>
  <c r="H24" i="1"/>
  <c r="G39" i="1"/>
  <c r="G37" i="1"/>
  <c r="F25" i="1"/>
  <c r="E42" i="1"/>
  <c r="E38" i="1"/>
  <c r="E37" i="1"/>
  <c r="H17" i="1"/>
  <c r="G17" i="1"/>
  <c r="H15" i="1"/>
  <c r="G15" i="1"/>
  <c r="H12" i="1"/>
  <c r="H11" i="1"/>
  <c r="H10" i="1"/>
  <c r="H3" i="1"/>
  <c r="H2" i="1"/>
  <c r="E20" i="1"/>
  <c r="E16" i="1"/>
  <c r="E15" i="1"/>
  <c r="E3" i="1"/>
</calcChain>
</file>

<file path=xl/sharedStrings.xml><?xml version="1.0" encoding="utf-8"?>
<sst xmlns="http://schemas.openxmlformats.org/spreadsheetml/2006/main" count="140" uniqueCount="33">
  <si>
    <t>Metropolitana</t>
  </si>
  <si>
    <t>Piauí</t>
  </si>
  <si>
    <t>Med Única/Final</t>
  </si>
  <si>
    <t>Custeio</t>
  </si>
  <si>
    <t>Hora em Atend EME Custeio</t>
  </si>
  <si>
    <t>Poda</t>
  </si>
  <si>
    <t>Swat</t>
  </si>
  <si>
    <t>TAT</t>
  </si>
  <si>
    <t>Qualidade</t>
  </si>
  <si>
    <t>Equipamento</t>
  </si>
  <si>
    <t>Plantão</t>
  </si>
  <si>
    <t>Corte</t>
  </si>
  <si>
    <t>Ligação Nova</t>
  </si>
  <si>
    <t>GDIS</t>
  </si>
  <si>
    <t>Financiamento de Padrão</t>
  </si>
  <si>
    <t>Seed Money</t>
  </si>
  <si>
    <t>Recuperação de Energia</t>
  </si>
  <si>
    <t>Passivo</t>
  </si>
  <si>
    <t>Hora Extra STC</t>
  </si>
  <si>
    <t>Centro de Treinamento</t>
  </si>
  <si>
    <t>Linha Viva AT</t>
  </si>
  <si>
    <t>Linha de Transmissão</t>
  </si>
  <si>
    <t>Limpeza de Subestação</t>
  </si>
  <si>
    <t>Transporte</t>
  </si>
  <si>
    <t>Parnaíba</t>
  </si>
  <si>
    <t>Regional</t>
  </si>
  <si>
    <t>Estado</t>
  </si>
  <si>
    <t>Processo</t>
  </si>
  <si>
    <t>Periodo</t>
  </si>
  <si>
    <t>Meta</t>
  </si>
  <si>
    <t>Medicao_dpl</t>
  </si>
  <si>
    <t>Medicao_validada</t>
  </si>
  <si>
    <t>Boletim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</si>
</sst>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548135"/>
      </patternFill>
    </fill>
    <fill>
      <patternFill patternType="solid">
        <fgColor theme="0"/>
        <bgColor rgb="FF1BB56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2" fillId="6" borderId="1" xfId="0" applyFont="1" applyFill="1" applyBorder="1"/>
    <xf numFmtId="164" fontId="1" fillId="6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14" fontId="2" fillId="6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B677-1EBE-494D-9C56-06C1E368CAD3}">
  <dimension ref="A1:H45"/>
  <sheetViews>
    <sheetView tabSelected="1" topLeftCell="A28" workbookViewId="0">
      <selection activeCell="L46" sqref="L46"/>
    </sheetView>
  </sheetViews>
  <sheetFormatPr defaultRowHeight="14.4" x14ac:dyDescent="0.3"/>
  <cols>
    <col min="1" max="1" width="13.21875" bestFit="1" customWidth="1"/>
    <col min="2" max="2" width="6.77734375" bestFit="1" customWidth="1"/>
    <col min="3" max="3" width="25.44140625" bestFit="1" customWidth="1"/>
    <col min="4" max="4" width="9.21875" style="11" customWidth="1"/>
    <col min="5" max="5" width="12.109375" bestFit="1" customWidth="1"/>
    <col min="6" max="6" width="12" bestFit="1" customWidth="1"/>
    <col min="7" max="7" width="15.6640625" bestFit="1" customWidth="1"/>
    <col min="8" max="8" width="12.109375" bestFit="1" customWidth="1"/>
  </cols>
  <sheetData>
    <row r="1" spans="1:8" x14ac:dyDescent="0.3">
      <c r="A1" s="5" t="s">
        <v>25</v>
      </c>
      <c r="B1" s="5" t="s">
        <v>26</v>
      </c>
      <c r="C1" s="5" t="s">
        <v>27</v>
      </c>
      <c r="D1" s="9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x14ac:dyDescent="0.3">
      <c r="A2" s="5" t="s">
        <v>0</v>
      </c>
      <c r="B2" s="5" t="s">
        <v>1</v>
      </c>
      <c r="C2" s="1" t="s">
        <v>2</v>
      </c>
      <c r="D2" s="9">
        <v>45992</v>
      </c>
      <c r="E2" s="6">
        <v>3955227.77</v>
      </c>
      <c r="F2" s="6">
        <v>5303077.0458999984</v>
      </c>
      <c r="G2" s="6">
        <v>5303077.0458999984</v>
      </c>
      <c r="H2" s="6">
        <f>5381562.25+41056.46+148187.84</f>
        <v>5570806.5499999998</v>
      </c>
    </row>
    <row r="3" spans="1:8" x14ac:dyDescent="0.3">
      <c r="A3" s="5" t="s">
        <v>0</v>
      </c>
      <c r="B3" s="5" t="s">
        <v>1</v>
      </c>
      <c r="C3" s="1" t="s">
        <v>3</v>
      </c>
      <c r="D3" s="9">
        <v>45992</v>
      </c>
      <c r="E3" s="6">
        <f>0</f>
        <v>0</v>
      </c>
      <c r="F3" s="6">
        <v>566878.16</v>
      </c>
      <c r="G3" s="6">
        <v>453530.69</v>
      </c>
      <c r="H3" s="6">
        <f>52179.81+373968.33</f>
        <v>426148.14</v>
      </c>
    </row>
    <row r="4" spans="1:8" x14ac:dyDescent="0.3">
      <c r="A4" s="5" t="s">
        <v>0</v>
      </c>
      <c r="B4" s="5" t="s">
        <v>1</v>
      </c>
      <c r="C4" s="1" t="s">
        <v>4</v>
      </c>
      <c r="D4" s="9">
        <v>45992</v>
      </c>
      <c r="E4" s="6">
        <v>0</v>
      </c>
      <c r="F4" s="6">
        <v>792660.4</v>
      </c>
      <c r="G4" s="6">
        <v>611485.56999999995</v>
      </c>
      <c r="H4" s="6">
        <v>558442.84999999974</v>
      </c>
    </row>
    <row r="5" spans="1:8" x14ac:dyDescent="0.3">
      <c r="A5" s="5" t="s">
        <v>0</v>
      </c>
      <c r="B5" s="5" t="s">
        <v>1</v>
      </c>
      <c r="C5" s="1" t="s">
        <v>5</v>
      </c>
      <c r="D5" s="9">
        <v>45992</v>
      </c>
      <c r="E5" s="6">
        <v>588239.29770199896</v>
      </c>
      <c r="F5" s="6">
        <v>657342.17000000004</v>
      </c>
      <c r="G5" s="6">
        <v>556601.48</v>
      </c>
      <c r="H5" s="6">
        <v>520063.38</v>
      </c>
    </row>
    <row r="6" spans="1:8" x14ac:dyDescent="0.3">
      <c r="A6" s="5" t="s">
        <v>0</v>
      </c>
      <c r="B6" s="5" t="s">
        <v>1</v>
      </c>
      <c r="C6" s="1" t="s">
        <v>6</v>
      </c>
      <c r="D6" s="9">
        <v>45992</v>
      </c>
      <c r="E6" s="6">
        <v>0</v>
      </c>
      <c r="F6" s="6">
        <v>0</v>
      </c>
      <c r="G6" s="6">
        <v>0</v>
      </c>
      <c r="H6" s="6">
        <v>0</v>
      </c>
    </row>
    <row r="7" spans="1:8" x14ac:dyDescent="0.3">
      <c r="A7" s="5" t="s">
        <v>0</v>
      </c>
      <c r="B7" s="5" t="s">
        <v>1</v>
      </c>
      <c r="C7" s="1" t="s">
        <v>7</v>
      </c>
      <c r="D7" s="9">
        <v>45992</v>
      </c>
      <c r="E7" s="6">
        <v>194974.61232899901</v>
      </c>
      <c r="F7" s="6">
        <v>150244.76</v>
      </c>
      <c r="G7" s="6">
        <v>144978.5</v>
      </c>
      <c r="H7" s="6">
        <v>136612.28</v>
      </c>
    </row>
    <row r="8" spans="1:8" x14ac:dyDescent="0.3">
      <c r="A8" s="5" t="s">
        <v>0</v>
      </c>
      <c r="B8" s="5" t="s">
        <v>1</v>
      </c>
      <c r="C8" s="1" t="s">
        <v>8</v>
      </c>
      <c r="D8" s="9">
        <v>45992</v>
      </c>
      <c r="E8" s="6">
        <v>126153.35330899899</v>
      </c>
      <c r="F8" s="6">
        <v>195623.91</v>
      </c>
      <c r="G8" s="6">
        <v>172196.41</v>
      </c>
      <c r="H8" s="6">
        <v>172196.4</v>
      </c>
    </row>
    <row r="9" spans="1:8" x14ac:dyDescent="0.3">
      <c r="A9" s="5" t="s">
        <v>0</v>
      </c>
      <c r="B9" s="5" t="s">
        <v>1</v>
      </c>
      <c r="C9" s="1" t="s">
        <v>9</v>
      </c>
      <c r="D9" s="9">
        <v>45992</v>
      </c>
      <c r="E9" s="6">
        <v>60775.870935999999</v>
      </c>
      <c r="F9" s="6">
        <v>75519.570000000007</v>
      </c>
      <c r="G9" s="6">
        <v>75519.570000000007</v>
      </c>
      <c r="H9" s="6">
        <v>75519.56</v>
      </c>
    </row>
    <row r="10" spans="1:8" x14ac:dyDescent="0.3">
      <c r="A10" s="5" t="s">
        <v>0</v>
      </c>
      <c r="B10" s="5" t="s">
        <v>1</v>
      </c>
      <c r="C10" s="2" t="s">
        <v>10</v>
      </c>
      <c r="D10" s="9">
        <v>45992</v>
      </c>
      <c r="E10" s="6">
        <v>2616159.5299999998</v>
      </c>
      <c r="F10" s="6">
        <v>2310568.78444626</v>
      </c>
      <c r="G10" s="6">
        <v>2146430.5700000972</v>
      </c>
      <c r="H10" s="6">
        <f>2367606.39-64643.98-168235.16</f>
        <v>2134727.25</v>
      </c>
    </row>
    <row r="11" spans="1:8" x14ac:dyDescent="0.3">
      <c r="A11" s="5" t="s">
        <v>0</v>
      </c>
      <c r="B11" s="5" t="s">
        <v>1</v>
      </c>
      <c r="C11" s="2" t="s">
        <v>11</v>
      </c>
      <c r="D11" s="9">
        <v>45992</v>
      </c>
      <c r="E11" s="6">
        <v>1445284.1</v>
      </c>
      <c r="F11" s="6">
        <v>1392983.0489006699</v>
      </c>
      <c r="G11" s="6">
        <v>1231121.9200001501</v>
      </c>
      <c r="H11" s="6">
        <f>1614779.776-96750.65-286362.82</f>
        <v>1231666.3060000001</v>
      </c>
    </row>
    <row r="12" spans="1:8" x14ac:dyDescent="0.3">
      <c r="A12" s="5" t="s">
        <v>0</v>
      </c>
      <c r="B12" s="5" t="s">
        <v>1</v>
      </c>
      <c r="C12" s="2" t="s">
        <v>12</v>
      </c>
      <c r="D12" s="9">
        <v>45992</v>
      </c>
      <c r="E12" s="6">
        <v>829014.03</v>
      </c>
      <c r="F12" s="6">
        <v>693619.64890882198</v>
      </c>
      <c r="G12" s="6">
        <v>380905.99999999104</v>
      </c>
      <c r="H12" s="6">
        <f>734898.08-353992.08</f>
        <v>380905.99999999994</v>
      </c>
    </row>
    <row r="13" spans="1:8" x14ac:dyDescent="0.3">
      <c r="A13" s="5" t="s">
        <v>0</v>
      </c>
      <c r="B13" s="5" t="s">
        <v>1</v>
      </c>
      <c r="C13" s="2" t="s">
        <v>13</v>
      </c>
      <c r="D13" s="9">
        <v>45992</v>
      </c>
      <c r="E13" s="6">
        <v>0</v>
      </c>
      <c r="F13" s="6">
        <v>0</v>
      </c>
      <c r="G13" s="6">
        <v>320410.05999999185</v>
      </c>
      <c r="H13" s="6">
        <v>320410.06</v>
      </c>
    </row>
    <row r="14" spans="1:8" x14ac:dyDescent="0.3">
      <c r="A14" s="5" t="s">
        <v>0</v>
      </c>
      <c r="B14" s="5" t="s">
        <v>1</v>
      </c>
      <c r="C14" s="2" t="s">
        <v>14</v>
      </c>
      <c r="D14" s="9">
        <v>45992</v>
      </c>
      <c r="E14" s="6">
        <v>0</v>
      </c>
      <c r="F14" s="6">
        <v>0</v>
      </c>
      <c r="G14" s="6">
        <v>69186.600000000093</v>
      </c>
      <c r="H14" s="6">
        <v>69186.600000000006</v>
      </c>
    </row>
    <row r="15" spans="1:8" x14ac:dyDescent="0.3">
      <c r="A15" s="5" t="s">
        <v>0</v>
      </c>
      <c r="B15" s="5" t="s">
        <v>1</v>
      </c>
      <c r="C15" s="2" t="s">
        <v>15</v>
      </c>
      <c r="D15" s="9">
        <v>45992</v>
      </c>
      <c r="E15" s="6">
        <f>14*18885.2</f>
        <v>264392.8</v>
      </c>
      <c r="F15" s="6">
        <v>148746.57999999999</v>
      </c>
      <c r="G15" s="6">
        <f>236622.4-5196.64-1699.32</f>
        <v>229726.43999999997</v>
      </c>
      <c r="H15" s="6">
        <f>229726.4-544.38</f>
        <v>229182.02</v>
      </c>
    </row>
    <row r="16" spans="1:8" x14ac:dyDescent="0.3">
      <c r="A16" s="5" t="s">
        <v>0</v>
      </c>
      <c r="B16" s="5" t="s">
        <v>1</v>
      </c>
      <c r="C16" s="2" t="s">
        <v>16</v>
      </c>
      <c r="D16" s="9">
        <v>45992</v>
      </c>
      <c r="E16" s="6">
        <f>(41332.2*47)+54729.22</f>
        <v>1997342.6199999999</v>
      </c>
      <c r="F16" s="6">
        <v>1919964.27</v>
      </c>
      <c r="G16" s="6">
        <v>1919964.27</v>
      </c>
      <c r="H16" s="6">
        <v>1965950.9300000004</v>
      </c>
    </row>
    <row r="17" spans="1:8" x14ac:dyDescent="0.3">
      <c r="A17" s="5" t="s">
        <v>0</v>
      </c>
      <c r="B17" s="5" t="s">
        <v>1</v>
      </c>
      <c r="C17" s="2" t="s">
        <v>17</v>
      </c>
      <c r="D17" s="9">
        <v>45992</v>
      </c>
      <c r="E17" s="6">
        <v>0</v>
      </c>
      <c r="F17" s="6">
        <v>0</v>
      </c>
      <c r="G17" s="6">
        <f>64644.0599999997+809134.440000007+180035.323333333+96750.6433333362</f>
        <v>1150564.4666666759</v>
      </c>
      <c r="H17" s="6">
        <f>96750.65+64643.98+168235.16+286362.82+353992.08+544.38</f>
        <v>970529.07000000018</v>
      </c>
    </row>
    <row r="18" spans="1:8" x14ac:dyDescent="0.3">
      <c r="A18" s="5" t="s">
        <v>0</v>
      </c>
      <c r="B18" s="5" t="s">
        <v>1</v>
      </c>
      <c r="C18" s="3" t="s">
        <v>18</v>
      </c>
      <c r="D18" s="9">
        <v>45992</v>
      </c>
      <c r="E18" s="6">
        <v>0</v>
      </c>
      <c r="F18" s="6">
        <v>0</v>
      </c>
      <c r="G18" s="6">
        <v>0</v>
      </c>
      <c r="H18" s="6">
        <v>1033634.74</v>
      </c>
    </row>
    <row r="19" spans="1:8" x14ac:dyDescent="0.3">
      <c r="A19" s="5" t="s">
        <v>0</v>
      </c>
      <c r="B19" s="5" t="s">
        <v>1</v>
      </c>
      <c r="C19" s="3" t="s">
        <v>19</v>
      </c>
      <c r="D19" s="9">
        <v>45992</v>
      </c>
      <c r="E19" s="6">
        <v>0</v>
      </c>
      <c r="F19" s="6">
        <v>0</v>
      </c>
      <c r="G19" s="6">
        <v>0</v>
      </c>
      <c r="H19" s="6">
        <v>0</v>
      </c>
    </row>
    <row r="20" spans="1:8" x14ac:dyDescent="0.3">
      <c r="A20" s="5" t="s">
        <v>0</v>
      </c>
      <c r="B20" s="5" t="s">
        <v>1</v>
      </c>
      <c r="C20" s="4" t="s">
        <v>20</v>
      </c>
      <c r="D20" s="9">
        <v>45992</v>
      </c>
      <c r="E20" s="6">
        <f>205959</f>
        <v>205959</v>
      </c>
      <c r="F20" s="6">
        <v>140213.01</v>
      </c>
      <c r="G20" s="6">
        <v>141113.82</v>
      </c>
      <c r="H20" s="6">
        <v>141113.82</v>
      </c>
    </row>
    <row r="21" spans="1:8" x14ac:dyDescent="0.3">
      <c r="A21" s="5" t="s">
        <v>0</v>
      </c>
      <c r="B21" s="5" t="s">
        <v>1</v>
      </c>
      <c r="C21" s="4" t="s">
        <v>21</v>
      </c>
      <c r="D21" s="9">
        <v>45992</v>
      </c>
      <c r="E21" s="6">
        <v>0</v>
      </c>
      <c r="F21" s="6">
        <v>0</v>
      </c>
      <c r="G21" s="6">
        <v>0</v>
      </c>
      <c r="H21" s="6">
        <v>0</v>
      </c>
    </row>
    <row r="22" spans="1:8" x14ac:dyDescent="0.3">
      <c r="A22" s="5" t="s">
        <v>0</v>
      </c>
      <c r="B22" s="5" t="s">
        <v>1</v>
      </c>
      <c r="C22" s="4" t="s">
        <v>22</v>
      </c>
      <c r="D22" s="9">
        <v>45992</v>
      </c>
      <c r="E22" s="6">
        <v>50000</v>
      </c>
      <c r="F22" s="6">
        <v>0</v>
      </c>
      <c r="G22" s="6">
        <v>0</v>
      </c>
      <c r="H22" s="6">
        <v>0</v>
      </c>
    </row>
    <row r="23" spans="1:8" x14ac:dyDescent="0.3">
      <c r="A23" s="5" t="s">
        <v>0</v>
      </c>
      <c r="B23" s="5" t="s">
        <v>1</v>
      </c>
      <c r="C23" s="4" t="s">
        <v>23</v>
      </c>
      <c r="D23" s="9">
        <v>45992</v>
      </c>
      <c r="E23" s="6">
        <v>0</v>
      </c>
      <c r="F23" s="6">
        <v>0</v>
      </c>
      <c r="G23" s="6">
        <v>0</v>
      </c>
      <c r="H23" s="6">
        <v>0</v>
      </c>
    </row>
    <row r="24" spans="1:8" x14ac:dyDescent="0.3">
      <c r="A24" s="7" t="s">
        <v>24</v>
      </c>
      <c r="B24" s="7" t="s">
        <v>1</v>
      </c>
      <c r="C24" s="1" t="s">
        <v>2</v>
      </c>
      <c r="D24" s="10">
        <v>45992</v>
      </c>
      <c r="E24" s="8">
        <v>1976143.92</v>
      </c>
      <c r="F24" s="8">
        <v>2266433.6783000003</v>
      </c>
      <c r="G24" s="8">
        <v>2266433.6783000003</v>
      </c>
      <c r="H24" s="8">
        <f>1993231.6+41684.28+11007.17</f>
        <v>2045923.05</v>
      </c>
    </row>
    <row r="25" spans="1:8" x14ac:dyDescent="0.3">
      <c r="A25" s="7" t="s">
        <v>24</v>
      </c>
      <c r="B25" s="7" t="s">
        <v>1</v>
      </c>
      <c r="C25" s="1" t="s">
        <v>3</v>
      </c>
      <c r="D25" s="10">
        <v>45992</v>
      </c>
      <c r="E25" s="8">
        <v>0</v>
      </c>
      <c r="F25" s="8">
        <f>96345.37+15951.86</f>
        <v>112297.23</v>
      </c>
      <c r="G25" s="8">
        <v>15951.85</v>
      </c>
      <c r="H25" s="8">
        <f>4486.11+8059.44</f>
        <v>12545.55</v>
      </c>
    </row>
    <row r="26" spans="1:8" x14ac:dyDescent="0.3">
      <c r="A26" s="7" t="s">
        <v>24</v>
      </c>
      <c r="B26" s="7" t="s">
        <v>1</v>
      </c>
      <c r="C26" s="1" t="s">
        <v>4</v>
      </c>
      <c r="D26" s="10">
        <v>45992</v>
      </c>
      <c r="E26" s="8">
        <v>0</v>
      </c>
      <c r="F26" s="8">
        <v>66761.14</v>
      </c>
      <c r="G26" s="8">
        <v>66744.639999999985</v>
      </c>
      <c r="H26" s="8">
        <v>66744.639999999985</v>
      </c>
    </row>
    <row r="27" spans="1:8" x14ac:dyDescent="0.3">
      <c r="A27" s="7" t="s">
        <v>24</v>
      </c>
      <c r="B27" s="7" t="s">
        <v>1</v>
      </c>
      <c r="C27" s="1" t="s">
        <v>5</v>
      </c>
      <c r="D27" s="10">
        <v>45992</v>
      </c>
      <c r="E27" s="8">
        <v>276775.31230399897</v>
      </c>
      <c r="F27" s="8">
        <v>219943.05</v>
      </c>
      <c r="G27" s="8">
        <v>196873.11</v>
      </c>
      <c r="H27" s="8">
        <v>196873.11000000004</v>
      </c>
    </row>
    <row r="28" spans="1:8" x14ac:dyDescent="0.3">
      <c r="A28" s="7" t="s">
        <v>24</v>
      </c>
      <c r="B28" s="7" t="s">
        <v>1</v>
      </c>
      <c r="C28" s="1" t="s">
        <v>6</v>
      </c>
      <c r="D28" s="10">
        <v>45992</v>
      </c>
      <c r="E28" s="8">
        <v>0</v>
      </c>
      <c r="F28" s="6">
        <v>0</v>
      </c>
      <c r="G28" s="6">
        <v>0</v>
      </c>
      <c r="H28" s="6">
        <v>0</v>
      </c>
    </row>
    <row r="29" spans="1:8" x14ac:dyDescent="0.3">
      <c r="A29" s="7" t="s">
        <v>24</v>
      </c>
      <c r="B29" s="7" t="s">
        <v>1</v>
      </c>
      <c r="C29" s="1" t="s">
        <v>7</v>
      </c>
      <c r="D29" s="10">
        <v>45992</v>
      </c>
      <c r="E29" s="8">
        <v>124531.944678</v>
      </c>
      <c r="F29" s="8">
        <v>120436.09</v>
      </c>
      <c r="G29" s="8">
        <v>120436.09</v>
      </c>
      <c r="H29" s="8">
        <v>116940.96999999999</v>
      </c>
    </row>
    <row r="30" spans="1:8" x14ac:dyDescent="0.3">
      <c r="A30" s="7" t="s">
        <v>24</v>
      </c>
      <c r="B30" s="7" t="s">
        <v>1</v>
      </c>
      <c r="C30" s="1" t="s">
        <v>8</v>
      </c>
      <c r="D30" s="10">
        <v>45992</v>
      </c>
      <c r="E30" s="8">
        <v>34989.546904999901</v>
      </c>
      <c r="F30" s="8">
        <v>47833.84</v>
      </c>
      <c r="G30" s="8">
        <v>47833.9</v>
      </c>
      <c r="H30" s="8">
        <v>47833.9</v>
      </c>
    </row>
    <row r="31" spans="1:8" x14ac:dyDescent="0.3">
      <c r="A31" s="7" t="s">
        <v>24</v>
      </c>
      <c r="B31" s="7" t="s">
        <v>1</v>
      </c>
      <c r="C31" s="1" t="s">
        <v>9</v>
      </c>
      <c r="D31" s="10">
        <v>45992</v>
      </c>
      <c r="E31" s="8">
        <v>30387.935468</v>
      </c>
      <c r="F31" s="8">
        <v>32761.09</v>
      </c>
      <c r="G31" s="8">
        <v>32761.09</v>
      </c>
      <c r="H31" s="8">
        <v>32761.089999999997</v>
      </c>
    </row>
    <row r="32" spans="1:8" x14ac:dyDescent="0.3">
      <c r="A32" s="7" t="s">
        <v>24</v>
      </c>
      <c r="B32" s="7" t="s">
        <v>1</v>
      </c>
      <c r="C32" s="2" t="s">
        <v>10</v>
      </c>
      <c r="D32" s="10">
        <v>45992</v>
      </c>
      <c r="E32" s="8">
        <v>1609759.33</v>
      </c>
      <c r="F32" s="8">
        <v>1212785.1744544101</v>
      </c>
      <c r="G32" s="8">
        <v>1072761.8499999461</v>
      </c>
      <c r="H32" s="8">
        <f>1226140.8-39905.97-115516.02</f>
        <v>1070718.81</v>
      </c>
    </row>
    <row r="33" spans="1:8" x14ac:dyDescent="0.3">
      <c r="A33" s="7" t="s">
        <v>24</v>
      </c>
      <c r="B33" s="7" t="s">
        <v>1</v>
      </c>
      <c r="C33" s="2" t="s">
        <v>11</v>
      </c>
      <c r="D33" s="10">
        <v>45992</v>
      </c>
      <c r="E33" s="8">
        <v>484190.29</v>
      </c>
      <c r="F33" s="8">
        <v>509758.73333877098</v>
      </c>
      <c r="G33" s="8">
        <v>428013.22000001167</v>
      </c>
      <c r="H33" s="8">
        <f>514046.16-18129.31-67903.63</f>
        <v>428013.22</v>
      </c>
    </row>
    <row r="34" spans="1:8" x14ac:dyDescent="0.3">
      <c r="A34" s="7" t="s">
        <v>24</v>
      </c>
      <c r="B34" s="7" t="s">
        <v>1</v>
      </c>
      <c r="C34" s="2" t="s">
        <v>12</v>
      </c>
      <c r="D34" s="10">
        <v>45992</v>
      </c>
      <c r="E34" s="8">
        <v>317893.44</v>
      </c>
      <c r="F34" s="8">
        <v>257709.75</v>
      </c>
      <c r="G34" s="8">
        <v>179327.89999999973</v>
      </c>
      <c r="H34" s="8">
        <f>298508.37-119180.47</f>
        <v>179327.9</v>
      </c>
    </row>
    <row r="35" spans="1:8" x14ac:dyDescent="0.3">
      <c r="A35" s="7" t="s">
        <v>24</v>
      </c>
      <c r="B35" s="7" t="s">
        <v>1</v>
      </c>
      <c r="C35" s="2" t="s">
        <v>13</v>
      </c>
      <c r="D35" s="10">
        <v>45992</v>
      </c>
      <c r="E35" s="8">
        <v>0</v>
      </c>
      <c r="F35" s="8">
        <v>0</v>
      </c>
      <c r="G35" s="8">
        <v>70781.98000000036</v>
      </c>
      <c r="H35" s="8">
        <v>70781.98</v>
      </c>
    </row>
    <row r="36" spans="1:8" x14ac:dyDescent="0.3">
      <c r="A36" s="7" t="s">
        <v>24</v>
      </c>
      <c r="B36" s="7" t="s">
        <v>1</v>
      </c>
      <c r="C36" s="2" t="s">
        <v>14</v>
      </c>
      <c r="D36" s="10">
        <v>45992</v>
      </c>
      <c r="E36" s="8">
        <v>0</v>
      </c>
      <c r="F36" s="8">
        <v>0</v>
      </c>
      <c r="G36" s="8">
        <v>65059.680000000175</v>
      </c>
      <c r="H36" s="8">
        <v>65059.680000000008</v>
      </c>
    </row>
    <row r="37" spans="1:8" x14ac:dyDescent="0.3">
      <c r="A37" s="7" t="s">
        <v>24</v>
      </c>
      <c r="B37" s="7" t="s">
        <v>1</v>
      </c>
      <c r="C37" s="2" t="s">
        <v>15</v>
      </c>
      <c r="D37" s="10">
        <v>45992</v>
      </c>
      <c r="E37" s="8">
        <f>9*18885.2</f>
        <v>169966.80000000002</v>
      </c>
      <c r="F37" s="8">
        <v>167003.20000000001</v>
      </c>
      <c r="G37" s="8">
        <f>164724-6647.74999999999-2427.6</f>
        <v>155648.65</v>
      </c>
      <c r="H37" s="8">
        <v>155648.70000000001</v>
      </c>
    </row>
    <row r="38" spans="1:8" x14ac:dyDescent="0.3">
      <c r="A38" s="7" t="s">
        <v>24</v>
      </c>
      <c r="B38" s="7" t="s">
        <v>1</v>
      </c>
      <c r="C38" s="2" t="s">
        <v>16</v>
      </c>
      <c r="D38" s="10">
        <v>45992</v>
      </c>
      <c r="E38" s="8">
        <f>(41332.2*6)+35708.4</f>
        <v>283701.59999999998</v>
      </c>
      <c r="F38" s="8">
        <v>283701.59999999998</v>
      </c>
      <c r="G38" s="8">
        <v>283701.62</v>
      </c>
      <c r="H38" s="8">
        <v>283701.62</v>
      </c>
    </row>
    <row r="39" spans="1:8" x14ac:dyDescent="0.3">
      <c r="A39" s="7" t="s">
        <v>24</v>
      </c>
      <c r="B39" s="7" t="s">
        <v>1</v>
      </c>
      <c r="C39" s="2" t="s">
        <v>17</v>
      </c>
      <c r="D39" s="10">
        <v>45992</v>
      </c>
      <c r="E39" s="8">
        <v>0</v>
      </c>
      <c r="F39" s="6">
        <v>0</v>
      </c>
      <c r="G39" s="8">
        <f>39905.9699999997+302600.120000002+41846.7633333335+18129.31</f>
        <v>402482.16333333513</v>
      </c>
      <c r="H39" s="8">
        <f>18129.31+39905.97+115516.02+67903.63+119180.47</f>
        <v>360635.4</v>
      </c>
    </row>
    <row r="40" spans="1:8" x14ac:dyDescent="0.3">
      <c r="A40" s="7" t="s">
        <v>24</v>
      </c>
      <c r="B40" s="7" t="s">
        <v>1</v>
      </c>
      <c r="C40" s="3" t="s">
        <v>18</v>
      </c>
      <c r="D40" s="10">
        <v>45992</v>
      </c>
      <c r="E40" s="8">
        <v>0</v>
      </c>
      <c r="F40" s="6">
        <v>0</v>
      </c>
      <c r="G40" s="6">
        <v>0</v>
      </c>
      <c r="H40" s="8">
        <v>1085222</v>
      </c>
    </row>
    <row r="41" spans="1:8" x14ac:dyDescent="0.3">
      <c r="A41" s="7" t="s">
        <v>24</v>
      </c>
      <c r="B41" s="7" t="s">
        <v>1</v>
      </c>
      <c r="C41" s="3" t="s">
        <v>19</v>
      </c>
      <c r="D41" s="10">
        <v>45992</v>
      </c>
      <c r="E41" s="8">
        <v>0</v>
      </c>
      <c r="F41" s="6">
        <v>0</v>
      </c>
      <c r="G41" s="6">
        <v>0</v>
      </c>
      <c r="H41" s="6">
        <v>0</v>
      </c>
    </row>
    <row r="42" spans="1:8" x14ac:dyDescent="0.3">
      <c r="A42" s="7" t="s">
        <v>24</v>
      </c>
      <c r="B42" s="7" t="s">
        <v>1</v>
      </c>
      <c r="C42" s="4" t="s">
        <v>20</v>
      </c>
      <c r="D42" s="10">
        <v>45992</v>
      </c>
      <c r="E42" s="8">
        <f>205959</f>
        <v>205959</v>
      </c>
      <c r="F42" s="8">
        <v>168682.07</v>
      </c>
      <c r="G42" s="8">
        <v>175239.04000000001</v>
      </c>
      <c r="H42" s="8">
        <v>175239.04000000001</v>
      </c>
    </row>
    <row r="43" spans="1:8" x14ac:dyDescent="0.3">
      <c r="A43" s="7" t="s">
        <v>24</v>
      </c>
      <c r="B43" s="7" t="s">
        <v>1</v>
      </c>
      <c r="C43" s="4" t="s">
        <v>21</v>
      </c>
      <c r="D43" s="10">
        <v>45992</v>
      </c>
      <c r="E43" s="8">
        <v>0</v>
      </c>
      <c r="F43" s="6">
        <v>0</v>
      </c>
      <c r="G43" s="6">
        <v>0</v>
      </c>
      <c r="H43" s="6">
        <v>0</v>
      </c>
    </row>
    <row r="44" spans="1:8" x14ac:dyDescent="0.3">
      <c r="A44" s="7" t="s">
        <v>24</v>
      </c>
      <c r="B44" s="7" t="s">
        <v>1</v>
      </c>
      <c r="C44" s="4" t="s">
        <v>22</v>
      </c>
      <c r="D44" s="10">
        <v>45992</v>
      </c>
      <c r="E44" s="8">
        <v>50000</v>
      </c>
      <c r="F44" s="8">
        <v>39046.457106000002</v>
      </c>
      <c r="G44" s="8">
        <v>39046.450000000004</v>
      </c>
      <c r="H44" s="8">
        <v>39046.450000000004</v>
      </c>
    </row>
    <row r="45" spans="1:8" x14ac:dyDescent="0.3">
      <c r="A45" s="7" t="s">
        <v>24</v>
      </c>
      <c r="B45" s="7" t="s">
        <v>1</v>
      </c>
      <c r="C45" s="4" t="s">
        <v>23</v>
      </c>
      <c r="D45" s="10">
        <v>45992</v>
      </c>
      <c r="E45" s="8">
        <v>0</v>
      </c>
      <c r="F45" s="6">
        <v>0</v>
      </c>
      <c r="G45" s="6">
        <v>0</v>
      </c>
      <c r="H45" s="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Neto</dc:creator>
  <cp:lastModifiedBy>Manuel Neto</cp:lastModifiedBy>
  <dcterms:created xsi:type="dcterms:W3CDTF">2026-10-22T12:36:32Z</dcterms:created>
  <dcterms:modified xsi:type="dcterms:W3CDTF">2026-10-22T20:27:28Z</dcterms:modified>
</cp:coreProperties>
</file>